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Ensembles des param" sheetId="1" r:id="rId5"/>
    <sheet name="Feuille 1 - Production du papie" sheetId="2" r:id="rId6"/>
    <sheet name="Feuille 1 - Production de la T " sheetId="3" r:id="rId7"/>
    <sheet name="Feuille 1 - Production des pigm" sheetId="4" r:id="rId8"/>
    <sheet name="Feuille 1 - Serigraphie" sheetId="5" r:id="rId9"/>
    <sheet name="Feuille 1 - Temps de travail et" sheetId="6" r:id="rId10"/>
    <sheet name="Feuille 1 - Tableau 1-1-1-1-1" sheetId="7" r:id="rId11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<sst xmlns="http://schemas.openxmlformats.org/spreadsheetml/2006/main" uniqueCount="171">
  <si>
    <t>Ensembles des paramètres</t>
  </si>
  <si>
    <t>Paramètre</t>
  </si>
  <si>
    <t>Valeur</t>
  </si>
  <si>
    <t>Unité</t>
  </si>
  <si>
    <t>Commentaire</t>
  </si>
  <si>
    <t>Nombre d’affiches</t>
  </si>
  <si>
    <t>affiches</t>
  </si>
  <si>
    <t>Nombre d’affiche à produire</t>
  </si>
  <si>
    <t>Format</t>
  </si>
  <si>
    <t>A2</t>
  </si>
  <si>
    <t>Grammage du papier</t>
  </si>
  <si>
    <t>G/m2</t>
  </si>
  <si>
    <t>Nombre de couleurs</t>
  </si>
  <si>
    <t>couleurs</t>
  </si>
  <si>
    <t>Nombre d’écrans/couleurs à préparer</t>
  </si>
  <si>
    <t>Matériel sérigraphie à amortir</t>
  </si>
  <si>
    <t>€</t>
  </si>
  <si>
    <t>Kit Serigraphie « Papier A3+ » et cadre A2 Dipilu</t>
  </si>
  <si>
    <t>Matériel pour faire du papier à amortir</t>
  </si>
  <si>
    <t>Temps de fabrication + Matière première</t>
  </si>
  <si>
    <t>Durée d’amortissement du matériel</t>
  </si>
  <si>
    <t>Hypothèse de durée de vie totale</t>
  </si>
  <si>
    <t>Taux horaire cible pour le travail</t>
  </si>
  <si>
    <t>€/h</t>
  </si>
  <si>
    <t>Provision cotisations artiste-auteur</t>
  </si>
  <si>
    <t>% du bénéfice cible</t>
  </si>
  <si>
    <t>Approximation indicative pour simulation BNC 2026</t>
  </si>
  <si>
    <t>Taux de pertes / gâche</t>
  </si>
  <si>
    <t>%</t>
  </si>
  <si>
    <t>Prix de l’émulsion</t>
  </si>
  <si>
    <t>€/unité</t>
  </si>
  <si>
    <t>Easy Blue 980g</t>
  </si>
  <si>
    <t>Prix papier transparent</t>
  </si>
  <si>
    <t>/A3/couleur</t>
  </si>
  <si>
    <t>Quantité d’émulsion par couleur/écran</t>
  </si>
  <si>
    <t>du pot par A2</t>
  </si>
  <si>
    <t>50g pour un pot de 980g</t>
  </si>
  <si>
    <t>Coût électricité par tirage</t>
  </si>
  <si>
    <t>€/émulsion</t>
  </si>
  <si>
    <t>Cuisson de l’encre, séchage, exposition/lumière, etc</t>
  </si>
  <si>
    <t>Coût eau par tirage</t>
  </si>
  <si>
    <t>60L par emulsión</t>
  </si>
  <si>
    <t>Coût nettoyant par tirage</t>
  </si>
  <si>
    <t>émulsion</t>
  </si>
  <si>
    <t>Nettoyant, savon, produits de nettoyage</t>
  </si>
  <si>
    <t>Temps preparation T Base</t>
  </si>
  <si>
    <t>minutes les 750g</t>
  </si>
  <si>
    <t>Temps préparation motif</t>
  </si>
  <si>
    <t>minutes/tirage</t>
  </si>
  <si>
    <t>Préparation du fichier pour l’impression</t>
  </si>
  <si>
    <t>Temps préparation écran / émulsion / exposition par couleur</t>
  </si>
  <si>
    <t>minutes/couleur</t>
  </si>
  <si>
    <t>Préparation, enduction, séchage actif, exposition, dépouillement</t>
  </si>
  <si>
    <t>Temps calage / repérage par couleur</t>
  </si>
  <si>
    <t>Installation et essais de repérage</t>
  </si>
  <si>
    <t>Temps impression par affiche et par couleur</t>
  </si>
  <si>
    <t>minutes</t>
  </si>
  <si>
    <t>Temps manipulation/contrôle par affiche</t>
  </si>
  <si>
    <t>Temps nettoyage final par couleur</t>
  </si>
  <si>
    <t>Nettoyage écran/raclette et poste de travail</t>
  </si>
  <si>
    <t>Temps préparation papier recyclé</t>
  </si>
  <si>
    <t>minutes/20 feuilles</t>
  </si>
  <si>
    <t>Pas de matière première payante</t>
  </si>
  <si>
    <t>Temps de récolte/tri du papier pour la pâte à papier</t>
  </si>
  <si>
    <t>h/kg</t>
  </si>
  <si>
    <t>Charges globales mensuelles</t>
  </si>
  <si>
    <t>€/mois</t>
  </si>
  <si>
    <t>Loyer dans le Vexin et logiciels opensources gratuit</t>
  </si>
  <si>
    <t>Nombre d’heures travaillé par jour</t>
  </si>
  <si>
    <t>heures</t>
  </si>
  <si>
    <t>Achat massicot</t>
  </si>
  <si>
    <t>Dahl 444 920mm</t>
  </si>
  <si>
    <t>Temps découpe Massicot</t>
  </si>
  <si>
    <t>Min/coupe</t>
  </si>
  <si>
    <t>Production du papier</t>
  </si>
  <si>
    <t>Format de l’affiche</t>
  </si>
  <si>
    <r>
      <rPr>
        <sz val="11"/>
        <color indexed="8"/>
        <rFont val="Calibri"/>
      </rPr>
      <t>A2</t>
    </r>
  </si>
  <si>
    <t>format</t>
  </si>
  <si>
    <t>Surface de l’affiche</t>
  </si>
  <si>
    <t>m²</t>
  </si>
  <si>
    <t>Facteur de surface par rapport au A2</t>
  </si>
  <si>
    <t>Multiplie émulsion, T-base, pigments (calculés pour du A2).</t>
  </si>
  <si>
    <t>Nombre de feuilles A2 à produire</t>
  </si>
  <si>
    <t>Film transparent en équivalent A3</t>
  </si>
  <si>
    <t>A3 par couleur</t>
  </si>
  <si>
    <t>Affiches par feuille fabriquée</t>
  </si>
  <si>
    <t>Le massicot augmente le nombre d’affiches par feuille A2.</t>
  </si>
  <si>
    <t>Affiches à imprimer (pertes comprises)</t>
  </si>
  <si>
    <t>Même taux de pertes que le reste du tableau.</t>
  </si>
  <si>
    <t>Feuilles à fabriquer</t>
  </si>
  <si>
    <t>feuilles</t>
  </si>
  <si>
    <t>Feuilles A2 si découpe, sinon feuilles au format de l’affiche.</t>
  </si>
  <si>
    <t>Surface d’une feuille fabriquée</t>
  </si>
  <si>
    <t>Équivalent A2 à imprimer</t>
  </si>
  <si>
    <t>feuilles A2</t>
  </si>
  <si>
    <t>Base de calcul de l’émulsion, de la T-base et des pigments.</t>
  </si>
  <si>
    <t>Nombre de coupes au massicot</t>
  </si>
  <si>
    <t>coupes</t>
  </si>
  <si>
    <t>Temps de découpe</t>
  </si>
  <si>
    <t>Amortissement massicot</t>
  </si>
  <si>
    <t>Poids d’une feuille fabriquée</t>
  </si>
  <si>
    <t>g</t>
  </si>
  <si>
    <t>Fibres à collecter</t>
  </si>
  <si>
    <t>kg</t>
  </si>
  <si>
    <t>Temps de récolte/tri du papier</t>
  </si>
  <si>
    <t>Temps production</t>
  </si>
  <si>
    <t>Temps total de production</t>
  </si>
  <si>
    <t>Minutes</t>
  </si>
  <si>
    <t>Prix total</t>
  </si>
  <si>
    <t>Prix par feuilles</t>
  </si>
  <si>
    <t>Pourcentage dans le prix final</t>
  </si>
  <si>
    <t>Formats disponibles</t>
  </si>
  <si>
    <t>Largeur (mm)</t>
  </si>
  <si>
    <t>Hauteur (mm)</t>
  </si>
  <si>
    <t>Surface (m²)</t>
  </si>
  <si>
    <t>Facteur</t>
  </si>
  <si>
    <t>Affiches par feuille A2</t>
  </si>
  <si>
    <t>Coupes par feuille A2</t>
  </si>
  <si>
    <t>A3</t>
  </si>
  <si>
    <t>A4</t>
  </si>
  <si>
    <t>A5</t>
  </si>
  <si>
    <t>Production de la T Base de Serigraphie</t>
  </si>
  <si>
    <t>Resources</t>
  </si>
  <si>
    <t>Prix</t>
  </si>
  <si>
    <t>Quantité en L et Kg</t>
  </si>
  <si>
    <t>Prix au Litre/kg</t>
  </si>
  <si>
    <t>Quantité nécessaire en mL et g</t>
  </si>
  <si>
    <t>Prix recette</t>
  </si>
  <si>
    <t>Eau</t>
  </si>
  <si>
    <t>L</t>
  </si>
  <si>
    <t>mL</t>
  </si>
  <si>
    <t>Vinaigre de pomme</t>
  </si>
  <si>
    <t>Farine de blé</t>
  </si>
  <si>
    <t>Fécule de Maïs</t>
  </si>
  <si>
    <t>Sucre</t>
  </si>
  <si>
    <t>Miel</t>
  </si>
  <si>
    <t>Total ressources pour 100 feuilles A2</t>
  </si>
  <si>
    <t>Total avec temps de travail pour 100 feuilles A2</t>
  </si>
  <si>
    <t>Total pour le projet</t>
  </si>
  <si>
    <t>Production des pigments</t>
  </si>
  <si>
    <t>Pigment</t>
  </si>
  <si>
    <t>Temps de preparation en min</t>
  </si>
  <si>
    <t>Broux de noix</t>
  </si>
  <si>
    <t>Charbon</t>
  </si>
  <si>
    <t>Craie blanche</t>
  </si>
  <si>
    <t>Mures</t>
  </si>
  <si>
    <t>Pastel</t>
  </si>
  <si>
    <t>Beaucoup plus de temps avec le séchage et la fermentation</t>
  </si>
  <si>
    <t>Moyenne</t>
  </si>
  <si>
    <t>Ce prix pour une grande quantité de pigment dont la quantité dans le produit fini est inférieur</t>
  </si>
  <si>
    <t>Prix pour le projet</t>
  </si>
  <si>
    <t>10% de la quantité de pigment par couleur pour 100 feuilles</t>
  </si>
  <si>
    <t>Serigraphie</t>
  </si>
  <si>
    <t>Amortissement matériel</t>
  </si>
  <si>
    <t>Prix des consommables par couleur</t>
  </si>
  <si>
    <t>Temps par couleur</t>
  </si>
  <si>
    <t>Prix des consommables pour le projet</t>
  </si>
  <si>
    <t>Temps pour le projet</t>
  </si>
  <si>
    <t>Prix de la serigraphie</t>
  </si>
  <si>
    <t>Temps de travail et charges immuables</t>
  </si>
  <si>
    <t>Temps total travaillé</t>
  </si>
  <si>
    <t>Nombre d’heures travaillé</t>
  </si>
  <si>
    <t>Nombres de jour de travail</t>
  </si>
  <si>
    <t>jours</t>
  </si>
  <si>
    <t>Montant des charges</t>
  </si>
  <si>
    <t>Charges reparti sur 20j/mois</t>
  </si>
  <si>
    <t>Montant avant impôt total</t>
  </si>
  <si>
    <t>Montant de la valeur du travail</t>
  </si>
  <si>
    <t>Part de la valeur travail dans le montant</t>
  </si>
  <si>
    <t>Montant HT (pas de TVA en dessous de 50’000€/an)</t>
  </si>
  <si>
    <t>Montant HT par affiche</t>
  </si>
</sst>
</file>

<file path=xl/styles.xml><?xml version="1.0" encoding="utf-8"?>
<styleSheet xmlns="http://schemas.openxmlformats.org/spreadsheetml/2006/main">
  <numFmts count="9">
    <numFmt numFmtId="0" formatCode="General"/>
    <numFmt numFmtId="59" formatCode="#,##0.00&quot; €&quot;"/>
    <numFmt numFmtId="60" formatCode="0.0#%"/>
    <numFmt numFmtId="61" formatCode="[$€-2] 0.00"/>
    <numFmt numFmtId="62" formatCode="0.0000"/>
    <numFmt numFmtId="63" formatCode="0.000"/>
    <numFmt numFmtId="64" formatCode="0.0"/>
    <numFmt numFmtId="65" formatCode="[$€-2] 0.0000"/>
    <numFmt numFmtId="66" formatCode="0.0%"/>
  </numFmts>
  <fonts count="10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  <font>
      <b val="1"/>
      <sz val="11"/>
      <color indexed="9"/>
      <name val="Calibri"/>
    </font>
    <font>
      <sz val="11"/>
      <color indexed="9"/>
      <name val="Calibri"/>
    </font>
    <font>
      <b val="1"/>
      <sz val="10"/>
      <color indexed="8"/>
      <name val="Helvetica Neue"/>
    </font>
    <font>
      <sz val="11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0"/>
      </right>
      <top style="thin">
        <color indexed="11"/>
      </top>
      <bottom style="thin">
        <color indexed="11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 style="thin">
        <color indexed="10"/>
      </right>
      <top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1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0" fontId="3" applyNumberFormat="0" applyFont="1" applyFill="0" applyBorder="0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horizontal="center" vertical="bottom" wrapText="1"/>
    </xf>
    <xf numFmtId="49" fontId="4" fillId="2" borderId="2" applyNumberFormat="1" applyFont="1" applyFill="1" applyBorder="1" applyAlignment="1" applyProtection="0">
      <alignment horizontal="center" vertical="bottom" wrapText="1"/>
    </xf>
    <xf numFmtId="49" fontId="4" fillId="2" borderId="3" applyNumberFormat="1" applyFont="1" applyFill="1" applyBorder="1" applyAlignment="1" applyProtection="0">
      <alignment horizontal="center" vertical="bottom" wrapText="1"/>
    </xf>
    <xf numFmtId="49" fontId="2" fillId="3" borderId="4" applyNumberFormat="1" applyFont="1" applyFill="1" applyBorder="1" applyAlignment="1" applyProtection="0">
      <alignment vertical="top" wrapText="1"/>
    </xf>
    <xf numFmtId="0" fontId="2" fillId="4" borderId="5" applyNumberFormat="1" applyFont="1" applyFill="1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2" fillId="3" borderId="6" applyNumberFormat="1" applyFont="1" applyFill="1" applyBorder="1" applyAlignment="1" applyProtection="0">
      <alignment vertical="top" wrapText="1"/>
    </xf>
    <xf numFmtId="49" fontId="2" fillId="3" borderId="7" applyNumberFormat="1" applyFont="1" applyFill="1" applyBorder="1" applyAlignment="1" applyProtection="0">
      <alignment vertical="top" wrapText="1"/>
    </xf>
    <xf numFmtId="49" fontId="2" fillId="4" borderId="8" applyNumberFormat="1" applyFont="1" applyFill="1" applyBorder="1" applyAlignment="1" applyProtection="0">
      <alignment horizontal="right" vertical="top" wrapText="1"/>
    </xf>
    <xf numFmtId="0" fontId="2" fillId="3" borderId="8" applyNumberFormat="0" applyFont="1" applyFill="1" applyBorder="1" applyAlignment="1" applyProtection="0">
      <alignment vertical="top" wrapText="1"/>
    </xf>
    <xf numFmtId="0" fontId="2" fillId="3" borderId="9" applyNumberFormat="0" applyFont="1" applyFill="1" applyBorder="1" applyAlignment="1" applyProtection="0">
      <alignment vertical="top" wrapText="1"/>
    </xf>
    <xf numFmtId="0" fontId="2" fillId="4" borderId="8" applyNumberFormat="1" applyFont="1" applyFill="1" applyBorder="1" applyAlignment="1" applyProtection="0">
      <alignment vertical="top" wrapText="1"/>
    </xf>
    <xf numFmtId="49" fontId="2" fillId="3" borderId="8" applyNumberFormat="1" applyFont="1" applyFill="1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59" fontId="2" fillId="5" borderId="8" applyNumberFormat="1" applyFont="1" applyFill="1" applyBorder="1" applyAlignment="1" applyProtection="0">
      <alignment vertical="top" wrapText="1"/>
    </xf>
    <xf numFmtId="0" fontId="2" fillId="5" borderId="8" applyNumberFormat="1" applyFont="1" applyFill="1" applyBorder="1" applyAlignment="1" applyProtection="0">
      <alignment vertical="top" wrapText="1"/>
    </xf>
    <xf numFmtId="60" fontId="2" fillId="5" borderId="8" applyNumberFormat="1" applyFont="1" applyFill="1" applyBorder="1" applyAlignment="1" applyProtection="0">
      <alignment vertical="top" wrapText="1"/>
    </xf>
    <xf numFmtId="9" fontId="2" fillId="5" borderId="8" applyNumberFormat="1" applyFont="1" applyFill="1" applyBorder="1" applyAlignment="1" applyProtection="0">
      <alignment vertical="top" wrapText="1"/>
    </xf>
    <xf numFmtId="61" fontId="2" fillId="5" borderId="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1" fontId="5" fillId="2" borderId="10" applyNumberFormat="1" applyFont="1" applyFill="1" applyBorder="1" applyAlignment="1" applyProtection="0">
      <alignment horizontal="center" vertical="bottom" wrapText="1"/>
    </xf>
    <xf numFmtId="49" fontId="5" fillId="2" borderId="10" applyNumberFormat="1" applyFont="1" applyFill="1" applyBorder="1" applyAlignment="1" applyProtection="0">
      <alignment horizontal="center" vertical="bottom" wrapText="1"/>
    </xf>
    <xf numFmtId="0" fontId="0" fillId="2" borderId="10" applyNumberFormat="0" applyFont="1" applyFill="1" applyBorder="1" applyAlignment="1" applyProtection="0">
      <alignment vertical="bottom"/>
    </xf>
    <xf numFmtId="49" fontId="2" fillId="3" borderId="11" applyNumberFormat="1" applyFont="1" applyFill="1" applyBorder="1" applyAlignment="1" applyProtection="0">
      <alignment vertical="top" wrapText="1"/>
    </xf>
    <xf numFmtId="0" fontId="2" fillId="6" borderId="12" applyNumberFormat="0" applyFont="1" applyFill="1" applyBorder="1" applyAlignment="1" applyProtection="0">
      <alignment horizontal="right" vertical="top" wrapText="1"/>
    </xf>
    <xf numFmtId="49" fontId="2" fillId="3" borderId="12" applyNumberFormat="1" applyFont="1" applyFill="1" applyBorder="1" applyAlignment="1" applyProtection="0">
      <alignment vertical="top" wrapText="1"/>
    </xf>
    <xf numFmtId="0" fontId="2" fillId="3" borderId="12" applyNumberFormat="0" applyFont="1" applyFill="1" applyBorder="1" applyAlignment="1" applyProtection="0">
      <alignment vertical="top" wrapText="1"/>
    </xf>
    <xf numFmtId="0" fontId="0" fillId="3" borderId="12" applyNumberFormat="0" applyFont="1" applyFill="1" applyBorder="1" applyAlignment="1" applyProtection="0">
      <alignment vertical="bottom"/>
    </xf>
    <xf numFmtId="49" fontId="2" fillId="3" borderId="13" applyNumberFormat="1" applyFont="1" applyFill="1" applyBorder="1" applyAlignment="1" applyProtection="0">
      <alignment vertical="top" wrapText="1"/>
    </xf>
    <xf numFmtId="62" fontId="2" fillId="6" borderId="14" applyNumberFormat="1" applyFont="1" applyFill="1" applyBorder="1" applyAlignment="1" applyProtection="0">
      <alignment vertical="top" wrapText="1"/>
    </xf>
    <xf numFmtId="49" fontId="2" fillId="3" borderId="14" applyNumberFormat="1" applyFont="1" applyFill="1" applyBorder="1" applyAlignment="1" applyProtection="0">
      <alignment vertical="top" wrapText="1"/>
    </xf>
    <xf numFmtId="1" fontId="2" fillId="3" borderId="14" applyNumberFormat="1" applyFont="1" applyFill="1" applyBorder="1" applyAlignment="1" applyProtection="0">
      <alignment vertical="top" wrapText="1"/>
    </xf>
    <xf numFmtId="0" fontId="0" fillId="3" borderId="14" applyNumberFormat="0" applyFont="1" applyFill="1" applyBorder="1" applyAlignment="1" applyProtection="0">
      <alignment vertical="bottom"/>
    </xf>
    <xf numFmtId="63" fontId="2" fillId="6" borderId="14" applyNumberFormat="1" applyFont="1" applyFill="1" applyBorder="1" applyAlignment="1" applyProtection="0">
      <alignment vertical="top" wrapText="1"/>
    </xf>
    <xf numFmtId="1" fontId="0" fillId="6" borderId="14" applyNumberFormat="1" applyFont="1" applyFill="1" applyBorder="1" applyAlignment="1" applyProtection="0">
      <alignment vertical="top" wrapText="1"/>
    </xf>
    <xf numFmtId="0" fontId="2" fillId="3" borderId="14" applyNumberFormat="0" applyFont="1" applyFill="1" applyBorder="1" applyAlignment="1" applyProtection="0">
      <alignment vertical="top" wrapText="1"/>
    </xf>
    <xf numFmtId="1" fontId="2" fillId="6" borderId="14" applyNumberFormat="1" applyFont="1" applyFill="1" applyBorder="1" applyAlignment="1" applyProtection="0">
      <alignment vertical="top" wrapText="1"/>
    </xf>
    <xf numFmtId="64" fontId="2" fillId="6" borderId="14" applyNumberFormat="1" applyFont="1" applyFill="1" applyBorder="1" applyAlignment="1" applyProtection="0">
      <alignment vertical="top" wrapText="1"/>
    </xf>
    <xf numFmtId="2" fontId="2" fillId="6" borderId="14" applyNumberFormat="1" applyFont="1" applyFill="1" applyBorder="1" applyAlignment="1" applyProtection="0">
      <alignment vertical="top" wrapText="1"/>
    </xf>
    <xf numFmtId="64" fontId="2" fillId="6" borderId="15" applyNumberFormat="1" applyFont="1" applyFill="1" applyBorder="1" applyAlignment="1" applyProtection="0">
      <alignment vertical="top" wrapText="1"/>
    </xf>
    <xf numFmtId="49" fontId="0" fillId="3" borderId="16" applyNumberFormat="1" applyFont="1" applyFill="1" applyBorder="1" applyAlignment="1" applyProtection="0">
      <alignment vertical="bottom"/>
    </xf>
    <xf numFmtId="0" fontId="0" fillId="6" borderId="17" applyNumberFormat="1" applyFont="1" applyFill="1" applyBorder="1" applyAlignment="1" applyProtection="0">
      <alignment vertical="bottom"/>
    </xf>
    <xf numFmtId="49" fontId="0" fillId="3" borderId="18" applyNumberFormat="1" applyFont="1" applyFill="1" applyBorder="1" applyAlignment="1" applyProtection="0">
      <alignment vertical="bottom"/>
    </xf>
    <xf numFmtId="49" fontId="6" fillId="3" borderId="16" applyNumberFormat="1" applyFont="1" applyFill="1" applyBorder="1" applyAlignment="1" applyProtection="0">
      <alignment vertical="bottom"/>
    </xf>
    <xf numFmtId="61" fontId="6" fillId="6" borderId="19" applyNumberFormat="1" applyFont="1" applyFill="1" applyBorder="1" applyAlignment="1" applyProtection="0">
      <alignment vertical="bottom"/>
    </xf>
    <xf numFmtId="0" fontId="0" fillId="3" borderId="18" applyNumberFormat="0" applyFont="1" applyFill="1" applyBorder="1" applyAlignment="1" applyProtection="0">
      <alignment vertical="bottom"/>
    </xf>
    <xf numFmtId="61" fontId="0" fillId="6" borderId="20" applyNumberFormat="1" applyFont="1" applyFill="1" applyBorder="1" applyAlignment="1" applyProtection="0">
      <alignment vertical="bottom"/>
    </xf>
    <xf numFmtId="49" fontId="0" fillId="3" borderId="14" applyNumberFormat="1" applyFont="1" applyFill="1" applyBorder="1" applyAlignment="1" applyProtection="0">
      <alignment vertical="bottom"/>
    </xf>
    <xf numFmtId="10" fontId="0" fillId="3" borderId="21" applyNumberFormat="1" applyFont="1" applyFill="1" applyBorder="1" applyAlignment="1" applyProtection="0">
      <alignment vertical="bottom"/>
    </xf>
    <xf numFmtId="49" fontId="7" fillId="3" borderId="14" applyNumberFormat="1" applyFont="1" applyFill="1" applyBorder="1" applyAlignment="1" applyProtection="0">
      <alignment vertical="center"/>
    </xf>
    <xf numFmtId="1" fontId="8" fillId="3" borderId="14" applyNumberFormat="1" applyFont="1" applyFill="1" applyBorder="1" applyAlignment="1" applyProtection="0">
      <alignment horizontal="center" vertical="center"/>
    </xf>
    <xf numFmtId="49" fontId="2" fillId="3" borderId="14" applyNumberFormat="1" applyFont="1" applyFill="1" applyBorder="1" applyAlignment="1" applyProtection="0">
      <alignment horizontal="center" vertical="bottom" wrapText="1"/>
    </xf>
    <xf numFmtId="49" fontId="2" fillId="3" borderId="22" applyNumberFormat="1" applyFont="1" applyFill="1" applyBorder="1" applyAlignment="1" applyProtection="0">
      <alignment vertical="top" wrapText="1"/>
    </xf>
    <xf numFmtId="1" fontId="2" fillId="6" borderId="23" applyNumberFormat="1" applyFont="1" applyFill="1" applyBorder="1" applyAlignment="1" applyProtection="0">
      <alignment vertical="top" wrapText="1"/>
    </xf>
    <xf numFmtId="62" fontId="2" fillId="6" borderId="23" applyNumberFormat="1" applyFont="1" applyFill="1" applyBorder="1" applyAlignment="1" applyProtection="0">
      <alignment vertical="top" wrapText="1"/>
    </xf>
    <xf numFmtId="63" fontId="2" fillId="6" borderId="23" applyNumberFormat="1" applyFont="1" applyFill="1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0" fontId="4" fillId="2" borderId="2" applyNumberFormat="0" applyFont="1" applyFill="1" applyBorder="1" applyAlignment="1" applyProtection="0">
      <alignment horizontal="center" vertical="bottom" wrapText="1"/>
    </xf>
    <xf numFmtId="49" fontId="4" fillId="2" borderId="24" applyNumberFormat="1" applyFont="1" applyFill="1" applyBorder="1" applyAlignment="1" applyProtection="0">
      <alignment horizontal="center" vertical="bottom" wrapText="1"/>
    </xf>
    <xf numFmtId="65" fontId="2" fillId="5" borderId="5" applyNumberFormat="1" applyFont="1" applyFill="1" applyBorder="1" applyAlignment="1" applyProtection="0">
      <alignment vertical="top" wrapText="1"/>
    </xf>
    <xf numFmtId="0" fontId="2" fillId="5" borderId="5" applyNumberFormat="1" applyFont="1" applyFill="1" applyBorder="1" applyAlignment="1" applyProtection="0">
      <alignment vertical="top" wrapText="1"/>
    </xf>
    <xf numFmtId="65" fontId="2" fillId="6" borderId="5" applyNumberFormat="1" applyFont="1" applyFill="1" applyBorder="1" applyAlignment="1" applyProtection="0">
      <alignment vertical="top" wrapText="1"/>
    </xf>
    <xf numFmtId="61" fontId="2" fillId="6" borderId="6" applyNumberFormat="1" applyFont="1" applyFill="1" applyBorder="1" applyAlignment="1" applyProtection="0">
      <alignment vertical="top" wrapText="1"/>
    </xf>
    <xf numFmtId="61" fontId="2" fillId="6" borderId="8" applyNumberFormat="1" applyFont="1" applyFill="1" applyBorder="1" applyAlignment="1" applyProtection="0">
      <alignment vertical="top" wrapText="1"/>
    </xf>
    <xf numFmtId="61" fontId="2" fillId="6" borderId="9" applyNumberFormat="1" applyFont="1" applyFill="1" applyBorder="1" applyAlignment="1" applyProtection="0">
      <alignment vertical="top" wrapText="1"/>
    </xf>
    <xf numFmtId="0" fontId="2" fillId="6" borderId="8" applyNumberFormat="1" applyFont="1" applyFill="1" applyBorder="1" applyAlignment="1" applyProtection="0">
      <alignment vertical="top" wrapText="1"/>
    </xf>
    <xf numFmtId="0" fontId="2" fillId="3" borderId="7" applyNumberFormat="0" applyFont="1" applyFill="1" applyBorder="1" applyAlignment="1" applyProtection="0">
      <alignment vertical="top" wrapText="1"/>
    </xf>
    <xf numFmtId="65" fontId="2" fillId="3" borderId="9" applyNumberFormat="1" applyFont="1" applyFill="1" applyBorder="1" applyAlignment="1" applyProtection="0">
      <alignment vertical="top" wrapText="1"/>
    </xf>
    <xf numFmtId="49" fontId="9" fillId="3" borderId="7" applyNumberFormat="1" applyFont="1" applyFill="1" applyBorder="1" applyAlignment="1" applyProtection="0">
      <alignment vertical="top" wrapText="1"/>
    </xf>
    <xf numFmtId="61" fontId="9" fillId="6" borderId="9" applyNumberFormat="1" applyFont="1" applyFill="1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0" fontId="2" fillId="3" borderId="6" applyNumberFormat="0" applyFont="1" applyFill="1" applyBorder="1" applyAlignment="1" applyProtection="0">
      <alignment vertical="top" wrapText="1"/>
    </xf>
    <xf numFmtId="61" fontId="9" fillId="6" borderId="8" applyNumberFormat="1" applyFont="1" applyFill="1" applyBorder="1" applyAlignment="1" applyProtection="0">
      <alignment vertical="top" wrapText="1"/>
    </xf>
    <xf numFmtId="49" fontId="9" fillId="3" borderId="8" applyNumberFormat="1" applyFont="1" applyFill="1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0" fontId="4" fillId="2" borderId="1" applyNumberFormat="0" applyFont="1" applyFill="1" applyBorder="1" applyAlignment="1" applyProtection="0">
      <alignment horizontal="center" vertical="bottom" wrapText="1"/>
    </xf>
    <xf numFmtId="61" fontId="2" fillId="6" borderId="5" applyNumberFormat="1" applyFont="1" applyFill="1" applyBorder="1" applyAlignment="1" applyProtection="0">
      <alignment vertical="top" wrapText="1"/>
    </xf>
    <xf numFmtId="1" fontId="2" fillId="6" borderId="8" applyNumberFormat="1" applyFont="1" applyFill="1" applyBorder="1" applyAlignment="1" applyProtection="0">
      <alignment vertical="top" wrapText="1"/>
    </xf>
    <xf numFmtId="59" fontId="2" fillId="6" borderId="8" applyNumberFormat="1" applyFont="1" applyFill="1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1" fontId="2" fillId="6" borderId="5" applyNumberFormat="1" applyFont="1" applyFill="1" applyBorder="1" applyAlignment="1" applyProtection="0">
      <alignment vertical="top" wrapText="1"/>
    </xf>
    <xf numFmtId="64" fontId="2" fillId="6" borderId="8" applyNumberFormat="1" applyFont="1" applyFill="1" applyBorder="1" applyAlignment="1" applyProtection="0">
      <alignment vertical="top" wrapText="1"/>
    </xf>
    <xf numFmtId="0" fontId="9" fillId="6" borderId="8" applyNumberFormat="1" applyFont="1" applyFill="1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2" fillId="3" borderId="25" applyNumberFormat="1" applyFont="1" applyFill="1" applyBorder="1" applyAlignment="1" applyProtection="0">
      <alignment vertical="top" wrapText="1"/>
    </xf>
    <xf numFmtId="61" fontId="2" fillId="6" borderId="26" applyNumberFormat="1" applyFont="1" applyFill="1" applyBorder="1" applyAlignment="1" applyProtection="0">
      <alignment vertical="top" wrapText="1"/>
    </xf>
    <xf numFmtId="66" fontId="2" fillId="6" borderId="9" applyNumberFormat="1" applyFont="1" applyFill="1" applyBorder="1" applyAlignment="1" applyProtection="0">
      <alignment vertical="top" wrapText="1"/>
    </xf>
    <xf numFmtId="59" fontId="2" fillId="6" borderId="9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9e2f3"/>
      <rgbColor rgb="ffc6e7f9"/>
      <rgbColor rgb="fffff2cc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D31"/>
  <sheetViews>
    <sheetView workbookViewId="0" showGridLines="0" defaultGridColor="1"/>
  </sheetViews>
  <sheetFormatPr defaultColWidth="8.83333" defaultRowHeight="15.4" customHeight="1" outlineLevelRow="0" outlineLevelCol="0"/>
  <cols>
    <col min="1" max="1" width="46" style="1" customWidth="1"/>
    <col min="2" max="2" width="18" style="1" customWidth="1"/>
    <col min="3" max="3" width="24" style="1" customWidth="1"/>
    <col min="4" max="4" width="70" style="1" customWidth="1"/>
    <col min="5" max="16384" width="8.85156" style="1" customWidth="1"/>
  </cols>
  <sheetData>
    <row r="1" ht="15.55" customHeight="1">
      <c r="A1" t="s" s="2">
        <v>0</v>
      </c>
      <c r="B1" s="2"/>
      <c r="C1" s="2"/>
      <c r="D1" s="2"/>
    </row>
    <row r="2" ht="19.8" customHeight="1">
      <c r="A2" t="s" s="3">
        <v>1</v>
      </c>
      <c r="B2" t="s" s="4">
        <v>2</v>
      </c>
      <c r="C2" t="s" s="4">
        <v>3</v>
      </c>
      <c r="D2" t="s" s="5">
        <v>4</v>
      </c>
    </row>
    <row r="3" ht="13.55" customHeight="1">
      <c r="A3" t="s" s="6">
        <v>5</v>
      </c>
      <c r="B3" s="7">
        <v>100</v>
      </c>
      <c r="C3" t="s" s="8">
        <v>6</v>
      </c>
      <c r="D3" t="s" s="9">
        <v>7</v>
      </c>
    </row>
    <row r="4" ht="13.55" customHeight="1">
      <c r="A4" t="s" s="10">
        <v>8</v>
      </c>
      <c r="B4" t="s" s="11">
        <v>9</v>
      </c>
      <c r="C4" s="12"/>
      <c r="D4" s="13"/>
    </row>
    <row r="5" ht="13.55" customHeight="1">
      <c r="A5" t="s" s="10">
        <v>10</v>
      </c>
      <c r="B5" s="14">
        <v>160</v>
      </c>
      <c r="C5" t="s" s="15">
        <v>11</v>
      </c>
      <c r="D5" s="13"/>
    </row>
    <row r="6" ht="13.55" customHeight="1">
      <c r="A6" t="s" s="10">
        <v>12</v>
      </c>
      <c r="B6" s="14">
        <v>2</v>
      </c>
      <c r="C6" t="s" s="15">
        <v>13</v>
      </c>
      <c r="D6" t="s" s="16">
        <v>14</v>
      </c>
    </row>
    <row r="7" ht="13.55" customHeight="1">
      <c r="A7" t="s" s="10">
        <v>15</v>
      </c>
      <c r="B7" s="17">
        <v>180</v>
      </c>
      <c r="C7" t="s" s="15">
        <v>16</v>
      </c>
      <c r="D7" t="s" s="16">
        <v>17</v>
      </c>
    </row>
    <row r="8" ht="13.55" customHeight="1">
      <c r="A8" t="s" s="10">
        <v>18</v>
      </c>
      <c r="B8" s="17">
        <v>110</v>
      </c>
      <c r="C8" t="s" s="15">
        <v>16</v>
      </c>
      <c r="D8" t="s" s="16">
        <v>19</v>
      </c>
    </row>
    <row r="9" ht="13.55" customHeight="1">
      <c r="A9" t="s" s="10">
        <v>20</v>
      </c>
      <c r="B9" s="18">
        <v>1000</v>
      </c>
      <c r="C9" t="s" s="15">
        <v>6</v>
      </c>
      <c r="D9" t="s" s="16">
        <v>21</v>
      </c>
    </row>
    <row r="10" ht="13.55" customHeight="1">
      <c r="A10" t="s" s="10">
        <v>22</v>
      </c>
      <c r="B10" s="17">
        <v>20</v>
      </c>
      <c r="C10" t="s" s="15">
        <v>23</v>
      </c>
      <c r="D10" s="13"/>
    </row>
    <row r="11" ht="13.55" customHeight="1">
      <c r="A11" t="s" s="10">
        <v>24</v>
      </c>
      <c r="B11" s="19">
        <v>0.1863</v>
      </c>
      <c r="C11" t="s" s="15">
        <v>25</v>
      </c>
      <c r="D11" t="s" s="16">
        <v>26</v>
      </c>
    </row>
    <row r="12" ht="13.55" customHeight="1">
      <c r="A12" t="s" s="10">
        <v>27</v>
      </c>
      <c r="B12" s="20">
        <v>0.15</v>
      </c>
      <c r="C12" t="s" s="15">
        <v>28</v>
      </c>
      <c r="D12" s="13"/>
    </row>
    <row r="13" ht="13.55" customHeight="1">
      <c r="A13" t="s" s="10">
        <v>29</v>
      </c>
      <c r="B13" s="17">
        <v>36.95</v>
      </c>
      <c r="C13" t="s" s="15">
        <v>30</v>
      </c>
      <c r="D13" t="s" s="16">
        <v>31</v>
      </c>
    </row>
    <row r="14" ht="13.55" customHeight="1">
      <c r="A14" t="s" s="10">
        <v>32</v>
      </c>
      <c r="B14" s="17">
        <v>1</v>
      </c>
      <c r="C14" t="s" s="15">
        <v>33</v>
      </c>
      <c r="D14" s="13"/>
    </row>
    <row r="15" ht="13.55" customHeight="1">
      <c r="A15" t="s" s="10">
        <v>34</v>
      </c>
      <c r="B15" s="18">
        <v>0.05</v>
      </c>
      <c r="C15" t="s" s="15">
        <v>35</v>
      </c>
      <c r="D15" t="s" s="16">
        <v>36</v>
      </c>
    </row>
    <row r="16" ht="13.55" customHeight="1">
      <c r="A16" t="s" s="10">
        <v>37</v>
      </c>
      <c r="B16" s="17">
        <v>0.5</v>
      </c>
      <c r="C16" t="s" s="15">
        <v>38</v>
      </c>
      <c r="D16" t="s" s="16">
        <v>39</v>
      </c>
    </row>
    <row r="17" ht="13.55" customHeight="1">
      <c r="A17" t="s" s="10">
        <v>40</v>
      </c>
      <c r="B17" s="17">
        <v>0.2</v>
      </c>
      <c r="C17" t="s" s="15">
        <v>38</v>
      </c>
      <c r="D17" t="s" s="16">
        <v>41</v>
      </c>
    </row>
    <row r="18" ht="13.55" customHeight="1">
      <c r="A18" t="s" s="10">
        <v>42</v>
      </c>
      <c r="B18" s="17">
        <v>1.5</v>
      </c>
      <c r="C18" t="s" s="15">
        <v>43</v>
      </c>
      <c r="D18" t="s" s="16">
        <v>44</v>
      </c>
    </row>
    <row r="19" ht="13.55" customHeight="1">
      <c r="A19" t="s" s="10">
        <v>45</v>
      </c>
      <c r="B19" s="18">
        <v>60</v>
      </c>
      <c r="C19" t="s" s="15">
        <v>46</v>
      </c>
      <c r="D19" s="13"/>
    </row>
    <row r="20" ht="13.55" customHeight="1">
      <c r="A20" t="s" s="10">
        <v>47</v>
      </c>
      <c r="B20" s="18">
        <v>10</v>
      </c>
      <c r="C20" t="s" s="15">
        <v>48</v>
      </c>
      <c r="D20" t="s" s="16">
        <v>49</v>
      </c>
    </row>
    <row r="21" ht="13.55" customHeight="1">
      <c r="A21" t="s" s="10">
        <v>50</v>
      </c>
      <c r="B21" s="18">
        <v>40</v>
      </c>
      <c r="C21" t="s" s="15">
        <v>51</v>
      </c>
      <c r="D21" t="s" s="16">
        <v>52</v>
      </c>
    </row>
    <row r="22" ht="13.55" customHeight="1">
      <c r="A22" t="s" s="10">
        <v>53</v>
      </c>
      <c r="B22" s="18">
        <v>15</v>
      </c>
      <c r="C22" t="s" s="15">
        <v>51</v>
      </c>
      <c r="D22" t="s" s="16">
        <v>54</v>
      </c>
    </row>
    <row r="23" ht="13.55" customHeight="1">
      <c r="A23" t="s" s="10">
        <v>55</v>
      </c>
      <c r="B23" s="18">
        <v>0.5</v>
      </c>
      <c r="C23" t="s" s="15">
        <v>56</v>
      </c>
      <c r="D23" s="13"/>
    </row>
    <row r="24" ht="13.55" customHeight="1">
      <c r="A24" t="s" s="10">
        <v>57</v>
      </c>
      <c r="B24" s="18">
        <v>0.5</v>
      </c>
      <c r="C24" t="s" s="15">
        <v>56</v>
      </c>
      <c r="D24" s="13"/>
    </row>
    <row r="25" ht="13.55" customHeight="1">
      <c r="A25" t="s" s="10">
        <v>58</v>
      </c>
      <c r="B25" s="18">
        <v>20</v>
      </c>
      <c r="C25" t="s" s="15">
        <v>51</v>
      </c>
      <c r="D25" t="s" s="16">
        <v>59</v>
      </c>
    </row>
    <row r="26" ht="13.55" customHeight="1">
      <c r="A26" t="s" s="10">
        <v>60</v>
      </c>
      <c r="B26" s="18">
        <v>40</v>
      </c>
      <c r="C26" t="s" s="15">
        <v>61</v>
      </c>
      <c r="D26" t="s" s="16">
        <v>62</v>
      </c>
    </row>
    <row r="27" ht="13.55" customHeight="1">
      <c r="A27" t="s" s="10">
        <v>63</v>
      </c>
      <c r="B27" s="18">
        <v>0.5</v>
      </c>
      <c r="C27" t="s" s="15">
        <v>64</v>
      </c>
      <c r="D27" s="13"/>
    </row>
    <row r="28" ht="13.55" customHeight="1">
      <c r="A28" t="s" s="10">
        <v>65</v>
      </c>
      <c r="B28" s="18">
        <v>350</v>
      </c>
      <c r="C28" t="s" s="15">
        <v>66</v>
      </c>
      <c r="D28" t="s" s="16">
        <v>67</v>
      </c>
    </row>
    <row r="29" ht="13.55" customHeight="1">
      <c r="A29" t="s" s="10">
        <v>68</v>
      </c>
      <c r="B29" s="18">
        <v>8</v>
      </c>
      <c r="C29" t="s" s="15">
        <v>69</v>
      </c>
      <c r="D29" s="13"/>
    </row>
    <row r="30" ht="13.55" customHeight="1">
      <c r="A30" t="s" s="10">
        <v>70</v>
      </c>
      <c r="B30" s="21">
        <v>190</v>
      </c>
      <c r="C30" t="s" s="15">
        <v>16</v>
      </c>
      <c r="D30" t="s" s="16">
        <v>71</v>
      </c>
    </row>
    <row r="31" ht="13.55" customHeight="1">
      <c r="A31" t="s" s="10">
        <v>72</v>
      </c>
      <c r="B31" s="18">
        <v>0.5</v>
      </c>
      <c r="C31" t="s" s="15">
        <v>73</v>
      </c>
      <c r="D31" s="13"/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G30"/>
  <sheetViews>
    <sheetView workbookViewId="0" showGridLines="0" defaultGridColor="1"/>
  </sheetViews>
  <sheetFormatPr defaultColWidth="8.66667" defaultRowHeight="13.9" customHeight="1" outlineLevelRow="0" outlineLevelCol="0"/>
  <cols>
    <col min="1" max="1" width="48" style="22" customWidth="1"/>
    <col min="2" max="3" width="16" style="22" customWidth="1"/>
    <col min="4" max="4" width="46.6172" style="22" customWidth="1"/>
    <col min="5" max="5" width="9.25" style="22" customWidth="1"/>
    <col min="6" max="6" width="12.1328" style="22" customWidth="1"/>
    <col min="7" max="7" width="9.85156" style="22" customWidth="1"/>
    <col min="8" max="16384" width="8.67188" style="22" customWidth="1"/>
  </cols>
  <sheetData>
    <row r="1" ht="15.55" customHeight="1">
      <c r="A1" t="s" s="2">
        <v>74</v>
      </c>
      <c r="B1" s="2"/>
      <c r="C1" s="2"/>
      <c r="D1" s="2"/>
      <c r="E1" s="2"/>
      <c r="F1" s="2"/>
      <c r="G1" s="2"/>
    </row>
    <row r="2" ht="19.85" customHeight="1">
      <c r="A2" s="23"/>
      <c r="B2" t="s" s="24">
        <v>2</v>
      </c>
      <c r="C2" t="s" s="24">
        <v>3</v>
      </c>
      <c r="D2" t="s" s="24">
        <v>4</v>
      </c>
      <c r="E2" s="25"/>
      <c r="F2" s="25"/>
      <c r="G2" s="25"/>
    </row>
    <row r="3" ht="15" customHeight="1">
      <c r="A3" t="s" s="26">
        <v>75</v>
      </c>
      <c r="B3" t="str" s="27" cm="1">
        <f t="array" ref="B3">'Feuille 1 - Ensembles des param'!B4</f>
        <v>A2</v>
      </c>
      <c r="C3" t="s" s="28">
        <v>77</v>
      </c>
      <c r="D3" s="29"/>
      <c r="E3" s="30"/>
      <c r="F3" s="30"/>
      <c r="G3" s="30"/>
    </row>
    <row r="4" ht="15" customHeight="1">
      <c r="A4" t="s" s="31">
        <v>78</v>
      </c>
      <c r="B4" s="32" cm="1">
        <f t="array" ref="B4">INDEX($D$27:$D$30,MATCH($B$3,$A$27:$A$30,0))</f>
        <v>0.24948</v>
      </c>
      <c r="C4" t="s" s="33">
        <v>79</v>
      </c>
      <c r="D4" s="34"/>
      <c r="E4" s="35"/>
      <c r="F4" s="35"/>
      <c r="G4" s="35"/>
    </row>
    <row r="5" ht="15" customHeight="1">
      <c r="A5" t="s" s="31">
        <v>80</v>
      </c>
      <c r="B5" s="36" cm="1">
        <f t="array" ref="B5">INDEX($E$27:$E$30,MATCH($B$3,$A$27:$A$30,0))</f>
        <v>1</v>
      </c>
      <c r="C5" s="33"/>
      <c r="D5" t="s" s="33">
        <v>81</v>
      </c>
      <c r="E5" s="35"/>
      <c r="F5" s="35"/>
      <c r="G5" s="35"/>
    </row>
    <row r="6" ht="15" customHeight="1">
      <c r="A6" t="s" s="31">
        <v>82</v>
      </c>
      <c r="B6" s="37" cm="1">
        <f t="array" ref="B6">ROUNDUP('Feuille 1 - Ensembles des param'!B3+('Feuille 1 - Ensembles des param'!B3*'Feuille 1 - Ensembles des param'!B12),0)</f>
        <v>115</v>
      </c>
      <c r="C6" s="33"/>
      <c r="D6" s="38"/>
      <c r="E6" s="35"/>
      <c r="F6" s="35"/>
      <c r="G6" s="35"/>
    </row>
    <row r="7" ht="15" customHeight="1">
      <c r="A7" t="s" s="31">
        <v>83</v>
      </c>
      <c r="B7" s="39" cm="1">
        <f t="array" ref="B7">B4/$D$28</f>
        <v>2</v>
      </c>
      <c r="C7" t="s" s="33">
        <v>84</v>
      </c>
      <c r="D7" s="38"/>
      <c r="E7" s="35"/>
      <c r="F7" s="35"/>
      <c r="G7" s="35"/>
    </row>
    <row r="8" ht="15" customHeight="1">
      <c r="A8" t="s" s="31">
        <v>85</v>
      </c>
      <c r="B8" s="39" cm="1">
        <f t="array" ref="B8">INDEX($F$27:$F$30,MATCH($B$3,$A$27:$A$30,0))</f>
        <v>1</v>
      </c>
      <c r="C8" t="s" s="33">
        <v>6</v>
      </c>
      <c r="D8" t="s" s="33">
        <v>86</v>
      </c>
      <c r="E8" s="35"/>
      <c r="F8" s="35"/>
      <c r="G8" s="35"/>
    </row>
    <row r="9" ht="15" customHeight="1">
      <c r="A9" t="s" s="31">
        <v>87</v>
      </c>
      <c r="B9" s="39" cm="1">
        <f t="array" ref="B9">ROUNDUP('Feuille 1 - Ensembles des param'!B3+'Feuille 1 - Ensembles des param'!B3*'Feuille 1 - Ensembles des param'!B12,0)</f>
        <v>115</v>
      </c>
      <c r="C9" t="s" s="33">
        <v>6</v>
      </c>
      <c r="D9" t="s" s="33">
        <v>88</v>
      </c>
      <c r="E9" s="35"/>
      <c r="F9" s="35"/>
      <c r="G9" s="35"/>
    </row>
    <row r="10" ht="15" customHeight="1">
      <c r="A10" t="s" s="31">
        <v>89</v>
      </c>
      <c r="B10" s="39" cm="1">
        <f t="array" ref="B10">ROUNDUP(B9/B8,0)</f>
        <v>115</v>
      </c>
      <c r="C10" t="s" s="33">
        <v>90</v>
      </c>
      <c r="D10" t="s" s="33">
        <v>91</v>
      </c>
      <c r="E10" s="35"/>
      <c r="F10" s="35"/>
      <c r="G10" s="35"/>
    </row>
    <row r="11" ht="15" customHeight="1">
      <c r="A11" t="s" s="31">
        <v>92</v>
      </c>
      <c r="B11" s="32" cm="1">
        <f t="array" ref="B11">$D$27</f>
        <v>0.24948</v>
      </c>
      <c r="C11" t="s" s="33">
        <v>79</v>
      </c>
      <c r="D11" s="34"/>
      <c r="E11" s="35"/>
      <c r="F11" s="35"/>
      <c r="G11" s="35"/>
    </row>
    <row r="12" ht="15" customHeight="1">
      <c r="A12" t="s" s="31">
        <v>93</v>
      </c>
      <c r="B12" s="40" cm="1">
        <f t="array" ref="B12">B9*B5</f>
        <v>115</v>
      </c>
      <c r="C12" t="s" s="33">
        <v>94</v>
      </c>
      <c r="D12" t="s" s="33">
        <v>95</v>
      </c>
      <c r="E12" s="35"/>
      <c r="F12" s="35"/>
      <c r="G12" s="35"/>
    </row>
    <row r="13" ht="15" customHeight="1">
      <c r="A13" t="s" s="31">
        <v>96</v>
      </c>
      <c r="B13" s="39" cm="1">
        <f t="array" ref="B13">B6*INDEX($G$27:$G$30,MATCH($B$3,$A$27:$A$30,0))</f>
        <v>460</v>
      </c>
      <c r="C13" t="s" s="33">
        <v>97</v>
      </c>
      <c r="D13" s="34"/>
      <c r="E13" s="35"/>
      <c r="F13" s="35"/>
      <c r="G13" s="35"/>
    </row>
    <row r="14" ht="15" customHeight="1">
      <c r="A14" t="s" s="31">
        <v>98</v>
      </c>
      <c r="B14" s="40" cm="1">
        <f t="array" ref="B14">'Feuille 1 - Ensembles des param'!B31*B13</f>
        <v>230</v>
      </c>
      <c r="C14" t="s" s="33">
        <v>56</v>
      </c>
      <c r="D14" s="34"/>
      <c r="E14" s="35"/>
      <c r="F14" s="35"/>
      <c r="G14" s="35"/>
    </row>
    <row r="15" ht="15" customHeight="1">
      <c r="A15" t="s" s="31">
        <v>99</v>
      </c>
      <c r="B15" s="40" cm="1">
        <f t="array" ref="B15">'Feuille 1 - Ensembles des param'!B3/'Feuille 1 - Ensembles des param'!B9*'Feuille 1 - Ensembles des param'!B30</f>
        <v>19</v>
      </c>
      <c r="C15" t="s" s="33">
        <v>16</v>
      </c>
      <c r="D15" s="34"/>
      <c r="E15" s="35"/>
      <c r="F15" s="35"/>
      <c r="G15" s="35"/>
    </row>
    <row r="16" ht="15" customHeight="1">
      <c r="A16" t="s" s="31">
        <v>100</v>
      </c>
      <c r="B16" s="40" cm="1">
        <f t="array" ref="B16">B11*'Feuille 1 - Ensembles des param'!B5</f>
        <v>39.9168</v>
      </c>
      <c r="C16" t="s" s="33">
        <v>101</v>
      </c>
      <c r="D16" s="38"/>
      <c r="E16" s="35"/>
      <c r="F16" s="35"/>
      <c r="G16" s="35"/>
    </row>
    <row r="17" ht="15" customHeight="1">
      <c r="A17" t="s" s="31">
        <v>102</v>
      </c>
      <c r="B17" s="41" cm="1">
        <f t="array" ref="B17">B16/1000*B10</f>
        <v>4.590432</v>
      </c>
      <c r="C17" t="s" s="33">
        <v>103</v>
      </c>
      <c r="D17" s="38"/>
      <c r="E17" s="35"/>
      <c r="F17" s="35"/>
      <c r="G17" s="35"/>
    </row>
    <row r="18" ht="15" customHeight="1">
      <c r="A18" t="s" s="31">
        <v>104</v>
      </c>
      <c r="B18" s="40" cm="1">
        <f t="array" ref="B18">B17*'Feuille 1 - Ensembles des param'!B27*60</f>
        <v>137.71296</v>
      </c>
      <c r="C18" t="s" s="33">
        <v>56</v>
      </c>
      <c r="D18" s="38"/>
      <c r="E18" s="35"/>
      <c r="F18" s="35"/>
      <c r="G18" s="35"/>
    </row>
    <row r="19" ht="15" customHeight="1">
      <c r="A19" t="s" s="31">
        <v>105</v>
      </c>
      <c r="B19" s="42" cm="1">
        <f t="array" ref="B19">B10*'Feuille 1 - Ensembles des param'!B26/20+B14</f>
        <v>460</v>
      </c>
      <c r="C19" t="s" s="33">
        <v>56</v>
      </c>
      <c r="D19" s="38"/>
      <c r="E19" s="35"/>
      <c r="F19" s="35"/>
      <c r="G19" s="35"/>
    </row>
    <row r="20" ht="14.7" customHeight="1">
      <c r="A20" t="s" s="43">
        <v>106</v>
      </c>
      <c r="B20" s="44" cm="1">
        <f t="array" ref="B20">B18+B19</f>
        <v>597.71296</v>
      </c>
      <c r="C20" t="s" s="45">
        <v>107</v>
      </c>
      <c r="D20" s="35"/>
      <c r="E20" s="35"/>
      <c r="F20" s="35"/>
      <c r="G20" s="35"/>
    </row>
    <row r="21" ht="14.7" customHeight="1">
      <c r="A21" t="s" s="46">
        <v>108</v>
      </c>
      <c r="B21" s="47" cm="1">
        <f t="array" ref="B21">B15+B20/60*'Feuille 1 - Ensembles des param'!B10</f>
        <v>218.237653333333</v>
      </c>
      <c r="C21" s="48"/>
      <c r="D21" s="35"/>
      <c r="E21" s="35"/>
      <c r="F21" s="35"/>
      <c r="G21" s="35"/>
    </row>
    <row r="22" ht="14.7" customHeight="1">
      <c r="A22" t="s" s="43">
        <v>109</v>
      </c>
      <c r="B22" s="49" cm="1">
        <f t="array" ref="B22">B21/'Feuille 1 - Ensembles des param'!B3</f>
        <v>2.18237653333333</v>
      </c>
      <c r="C22" s="48"/>
      <c r="D22" s="35"/>
      <c r="E22" s="35"/>
      <c r="F22" s="35"/>
      <c r="G22" s="35"/>
    </row>
    <row r="23" ht="14.7" customHeight="1">
      <c r="A23" t="s" s="50">
        <v>110</v>
      </c>
      <c r="B23" s="51" cm="1">
        <f t="array" ref="B23">('Feuille 1 - Tableau 1-1-1-1-1'!B1-B21)/'Feuille 1 - Tableau 1-1-1-1-1'!B1</f>
        <v>0.528079902426176</v>
      </c>
      <c r="C23" s="35"/>
      <c r="D23" s="35"/>
      <c r="E23" s="35"/>
      <c r="F23" s="35"/>
      <c r="G23" s="35"/>
    </row>
    <row r="24" ht="14.7" customHeight="1">
      <c r="A24" s="35"/>
      <c r="B24" s="35"/>
      <c r="C24" s="35"/>
      <c r="D24" s="35"/>
      <c r="E24" s="35"/>
      <c r="F24" s="35"/>
      <c r="G24" s="35"/>
    </row>
    <row r="25" ht="18" customHeight="1">
      <c r="A25" t="s" s="52">
        <v>111</v>
      </c>
      <c r="B25" s="53"/>
      <c r="C25" s="53"/>
      <c r="D25" s="53"/>
      <c r="E25" s="53"/>
      <c r="F25" s="53"/>
      <c r="G25" s="53"/>
    </row>
    <row r="26" ht="31.5" customHeight="1">
      <c r="A26" t="s" s="54">
        <v>8</v>
      </c>
      <c r="B26" t="s" s="54">
        <v>112</v>
      </c>
      <c r="C26" t="s" s="54">
        <v>113</v>
      </c>
      <c r="D26" t="s" s="54">
        <v>114</v>
      </c>
      <c r="E26" t="s" s="54">
        <v>115</v>
      </c>
      <c r="F26" t="s" s="54">
        <v>116</v>
      </c>
      <c r="G26" t="s" s="54">
        <v>117</v>
      </c>
    </row>
    <row r="27" ht="15" customHeight="1">
      <c r="A27" t="s" s="31">
        <v>9</v>
      </c>
      <c r="B27" s="39">
        <v>420</v>
      </c>
      <c r="C27" s="39">
        <v>594</v>
      </c>
      <c r="D27" s="32" cm="1">
        <f t="array" ref="D27">B27*C27/1000000</f>
        <v>0.24948</v>
      </c>
      <c r="E27" s="36" cm="1">
        <f t="array" ref="E27">D27/$D$27</f>
        <v>1</v>
      </c>
      <c r="F27" s="39" cm="1">
        <f t="array" ref="F27">ROUND($D$27/D27,0)</f>
        <v>1</v>
      </c>
      <c r="G27" s="39" cm="1">
        <f t="array" ref="G27">F27+3</f>
        <v>4</v>
      </c>
    </row>
    <row r="28" ht="15" customHeight="1">
      <c r="A28" t="s" s="31">
        <v>118</v>
      </c>
      <c r="B28" s="39">
        <v>297</v>
      </c>
      <c r="C28" s="39">
        <v>420</v>
      </c>
      <c r="D28" s="32" cm="1">
        <f t="array" ref="D28">B28*C28/1000000</f>
        <v>0.12474</v>
      </c>
      <c r="E28" s="36" cm="1">
        <f t="array" ref="E28">D28/$D$27</f>
        <v>0.5</v>
      </c>
      <c r="F28" s="39" cm="1">
        <f t="array" ref="F28">ROUND($D$27/D28,0)</f>
        <v>2</v>
      </c>
      <c r="G28" s="39" cm="1">
        <f t="array" ref="G28">F28+3</f>
        <v>5</v>
      </c>
    </row>
    <row r="29" ht="15" customHeight="1">
      <c r="A29" t="s" s="31">
        <v>119</v>
      </c>
      <c r="B29" s="39">
        <v>210</v>
      </c>
      <c r="C29" s="39">
        <v>297</v>
      </c>
      <c r="D29" s="32" cm="1">
        <f t="array" ref="D29">B29*C29/1000000</f>
        <v>0.06237</v>
      </c>
      <c r="E29" s="36" cm="1">
        <f t="array" ref="E29">D29/$D$27</f>
        <v>0.25</v>
      </c>
      <c r="F29" s="39" cm="1">
        <f t="array" ref="F29">ROUND($D$27/D29,0)</f>
        <v>4</v>
      </c>
      <c r="G29" s="39" cm="1">
        <f t="array" ref="G29">F29+3</f>
        <v>7</v>
      </c>
    </row>
    <row r="30" ht="15" customHeight="1">
      <c r="A30" t="s" s="55">
        <v>120</v>
      </c>
      <c r="B30" s="56">
        <v>148</v>
      </c>
      <c r="C30" s="56">
        <v>210</v>
      </c>
      <c r="D30" s="57" cm="1">
        <f t="array" ref="D30">B30*C30/1000000</f>
        <v>0.03108</v>
      </c>
      <c r="E30" s="58" cm="1">
        <f t="array" ref="E30">D30/$D$27</f>
        <v>0.124579124579125</v>
      </c>
      <c r="F30" s="56" cm="1">
        <f t="array" ref="F30">ROUND($D$27/D30,0)</f>
        <v>8</v>
      </c>
      <c r="G30" s="56" cm="1">
        <f t="array" ref="G30">F30+3</f>
        <v>11</v>
      </c>
    </row>
  </sheetData>
  <mergeCells count="2">
    <mergeCell ref="A1:G1"/>
    <mergeCell ref="A25:G25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H12"/>
  <sheetViews>
    <sheetView workbookViewId="0" showGridLines="0" defaultGridColor="1"/>
  </sheetViews>
  <sheetFormatPr defaultColWidth="8.83333" defaultRowHeight="15.4" customHeight="1" outlineLevelRow="0" outlineLevelCol="0"/>
  <cols>
    <col min="1" max="1" width="46" style="59" customWidth="1"/>
    <col min="2" max="2" width="18" style="59" customWidth="1"/>
    <col min="3" max="3" width="24" style="59" customWidth="1"/>
    <col min="4" max="4" width="3" style="59" customWidth="1"/>
    <col min="5" max="5" width="24" style="59" customWidth="1"/>
    <col min="6" max="6" width="26.0469" style="59" customWidth="1"/>
    <col min="7" max="7" width="3.35156" style="59" customWidth="1"/>
    <col min="8" max="8" width="13.7266" style="59" customWidth="1"/>
    <col min="9" max="16384" width="8.85156" style="59" customWidth="1"/>
  </cols>
  <sheetData>
    <row r="1" ht="15.55" customHeight="1">
      <c r="A1" t="s" s="2">
        <v>121</v>
      </c>
      <c r="B1" s="2"/>
      <c r="C1" s="2"/>
      <c r="D1" s="2"/>
      <c r="E1" s="2"/>
      <c r="F1" s="2"/>
      <c r="G1" s="2"/>
      <c r="H1" s="2"/>
    </row>
    <row r="2" ht="19.8" customHeight="1">
      <c r="A2" t="s" s="3">
        <v>122</v>
      </c>
      <c r="B2" t="s" s="4">
        <v>123</v>
      </c>
      <c r="C2" t="s" s="4">
        <v>124</v>
      </c>
      <c r="D2" s="60"/>
      <c r="E2" t="s" s="4">
        <v>125</v>
      </c>
      <c r="F2" t="s" s="61">
        <v>126</v>
      </c>
      <c r="G2" s="60"/>
      <c r="H2" t="s" s="5">
        <v>127</v>
      </c>
    </row>
    <row r="3" ht="13.55" customHeight="1">
      <c r="A3" t="s" s="6">
        <v>128</v>
      </c>
      <c r="B3" s="62">
        <v>0.0049</v>
      </c>
      <c r="C3" s="63">
        <v>1</v>
      </c>
      <c r="D3" t="s" s="8">
        <v>129</v>
      </c>
      <c r="E3" s="64" cm="1">
        <f t="array" ref="E3">$B3/$C3</f>
        <v>0.0049</v>
      </c>
      <c r="F3" s="18">
        <v>530</v>
      </c>
      <c r="G3" t="s" s="8">
        <v>130</v>
      </c>
      <c r="H3" s="65" cm="1">
        <f t="array" ref="H3">$E3*($F3/1000)</f>
        <v>0.002597</v>
      </c>
    </row>
    <row r="4" ht="13.55" customHeight="1">
      <c r="A4" t="s" s="10">
        <v>131</v>
      </c>
      <c r="B4" s="21">
        <v>8</v>
      </c>
      <c r="C4" s="18">
        <v>0.75</v>
      </c>
      <c r="D4" t="s" s="15">
        <v>129</v>
      </c>
      <c r="E4" s="66" cm="1">
        <f t="array" ref="E4">$B4/$C4</f>
        <v>10.6666666666667</v>
      </c>
      <c r="F4" s="18">
        <v>120</v>
      </c>
      <c r="G4" t="s" s="15">
        <v>130</v>
      </c>
      <c r="H4" s="67" cm="1">
        <f t="array" ref="H4">$E4*($F4/1000)</f>
        <v>1.28</v>
      </c>
    </row>
    <row r="5" ht="13.55" customHeight="1">
      <c r="A5" t="s" s="10">
        <v>132</v>
      </c>
      <c r="B5" s="21">
        <v>20</v>
      </c>
      <c r="C5" s="18">
        <v>10</v>
      </c>
      <c r="D5" t="s" s="15">
        <v>103</v>
      </c>
      <c r="E5" s="66" cm="1">
        <f t="array" ref="E5">$B5/$C5</f>
        <v>2</v>
      </c>
      <c r="F5" s="18">
        <v>80</v>
      </c>
      <c r="G5" t="s" s="15">
        <v>101</v>
      </c>
      <c r="H5" s="67" cm="1">
        <f t="array" ref="H5">$E5*($F5/1000)</f>
        <v>0.16</v>
      </c>
    </row>
    <row r="6" ht="13.55" customHeight="1">
      <c r="A6" t="s" s="10">
        <v>133</v>
      </c>
      <c r="B6" s="21">
        <v>2</v>
      </c>
      <c r="C6" s="18">
        <v>0.7</v>
      </c>
      <c r="D6" t="s" s="15">
        <v>103</v>
      </c>
      <c r="E6" s="66" cm="1">
        <f t="array" ref="E6">$B6/$C6</f>
        <v>2.85714285714286</v>
      </c>
      <c r="F6" s="18">
        <v>16</v>
      </c>
      <c r="G6" t="s" s="15">
        <v>101</v>
      </c>
      <c r="H6" s="67" cm="1">
        <f t="array" ref="H6">$E6*($F6/1000)</f>
        <v>0.0457142857142858</v>
      </c>
    </row>
    <row r="7" ht="13.55" customHeight="1">
      <c r="A7" t="s" s="10">
        <v>134</v>
      </c>
      <c r="B7" s="18">
        <v>1.85</v>
      </c>
      <c r="C7" s="18">
        <v>1</v>
      </c>
      <c r="D7" t="s" s="15">
        <v>103</v>
      </c>
      <c r="E7" s="68" cm="1">
        <f t="array" ref="E7">$B7/$C7</f>
        <v>1.85</v>
      </c>
      <c r="F7" s="18">
        <v>12</v>
      </c>
      <c r="G7" t="s" s="15">
        <v>101</v>
      </c>
      <c r="H7" s="67" cm="1">
        <f t="array" ref="H7">$E7*($F7/1000)</f>
        <v>0.0222</v>
      </c>
    </row>
    <row r="8" ht="13.55" customHeight="1">
      <c r="A8" t="s" s="10">
        <v>135</v>
      </c>
      <c r="B8" s="21">
        <v>13</v>
      </c>
      <c r="C8" s="18">
        <v>1</v>
      </c>
      <c r="D8" t="s" s="15">
        <v>103</v>
      </c>
      <c r="E8" s="66" cm="1">
        <f t="array" ref="E8">$B8/$C8</f>
        <v>13</v>
      </c>
      <c r="F8" s="18">
        <v>5</v>
      </c>
      <c r="G8" t="s" s="15">
        <v>101</v>
      </c>
      <c r="H8" s="67" cm="1">
        <f t="array" ref="H8">$E8*($F8/1000)</f>
        <v>0.065</v>
      </c>
    </row>
    <row r="9" ht="13.55" customHeight="1">
      <c r="A9" s="69"/>
      <c r="B9" s="12"/>
      <c r="C9" s="12"/>
      <c r="D9" s="12"/>
      <c r="E9" s="12"/>
      <c r="F9" s="12"/>
      <c r="G9" s="12"/>
      <c r="H9" s="70"/>
    </row>
    <row r="10" ht="13.55" customHeight="1">
      <c r="A10" t="s" s="10">
        <v>136</v>
      </c>
      <c r="B10" s="12"/>
      <c r="C10" s="12"/>
      <c r="D10" s="12"/>
      <c r="E10" s="66" cm="1">
        <f t="array" ref="E10">E3+E4+E5+E6+E7+E8</f>
        <v>30.3787095238096</v>
      </c>
      <c r="F10" s="12"/>
      <c r="G10" s="12"/>
      <c r="H10" s="67" cm="1">
        <f t="array" ref="H10">H3+H4+H5+H6+H7+H8</f>
        <v>1.57551128571429</v>
      </c>
    </row>
    <row r="11" ht="13.55" customHeight="1">
      <c r="A11" t="s" s="10">
        <v>137</v>
      </c>
      <c r="B11" s="12"/>
      <c r="C11" s="12"/>
      <c r="D11" s="12"/>
      <c r="E11" s="66" cm="1">
        <f t="array" ref="E11">E10+'Feuille 1 - Ensembles des param'!B19</f>
        <v>90.3787095238096</v>
      </c>
      <c r="F11" s="12"/>
      <c r="G11" s="12"/>
      <c r="H11" s="67" cm="1">
        <f t="array" ref="H11">H10+'Feuille 1 - Ensembles des param'!B19/60*'Feuille 1 - Ensembles des param'!B10</f>
        <v>21.5755112857143</v>
      </c>
    </row>
    <row r="12" ht="13.55" customHeight="1">
      <c r="A12" t="s" s="71">
        <v>138</v>
      </c>
      <c r="B12" s="12"/>
      <c r="C12" s="12"/>
      <c r="D12" s="12"/>
      <c r="E12" s="12"/>
      <c r="F12" s="12"/>
      <c r="G12" s="12"/>
      <c r="H12" s="72" cm="1">
        <f t="array" ref="H12">H11/100*'Feuille 1 - Production du papie'!B12</f>
        <v>24.8118379785714</v>
      </c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2:D11"/>
  <sheetViews>
    <sheetView workbookViewId="0" showGridLines="0" defaultGridColor="1"/>
  </sheetViews>
  <sheetFormatPr defaultColWidth="8.83333" defaultRowHeight="15.4" customHeight="1" outlineLevelRow="0" outlineLevelCol="0"/>
  <cols>
    <col min="1" max="1" width="46" style="73" customWidth="1"/>
    <col min="2" max="3" width="24.3516" style="73" customWidth="1"/>
    <col min="4" max="4" width="63.5156" style="73" customWidth="1"/>
    <col min="5" max="16384" width="8.85156" style="73" customWidth="1"/>
  </cols>
  <sheetData>
    <row r="1" ht="15.55" customHeight="1">
      <c r="A1" t="s" s="2">
        <v>139</v>
      </c>
      <c r="B1" s="2"/>
      <c r="C1" s="2"/>
      <c r="D1" s="2"/>
    </row>
    <row r="2" ht="19.8" customHeight="1">
      <c r="A2" t="s" s="3">
        <v>140</v>
      </c>
      <c r="B2" t="s" s="61">
        <v>141</v>
      </c>
      <c r="C2" t="s" s="61">
        <v>3</v>
      </c>
      <c r="D2" t="s" s="5">
        <v>4</v>
      </c>
    </row>
    <row r="3" ht="13.55" customHeight="1">
      <c r="A3" t="s" s="6">
        <v>142</v>
      </c>
      <c r="B3" s="18">
        <v>150</v>
      </c>
      <c r="C3" t="s" s="15">
        <v>56</v>
      </c>
      <c r="D3" s="74"/>
    </row>
    <row r="4" ht="13.55" customHeight="1">
      <c r="A4" t="s" s="10">
        <v>143</v>
      </c>
      <c r="B4" s="18">
        <v>60</v>
      </c>
      <c r="C4" t="s" s="15">
        <v>56</v>
      </c>
      <c r="D4" s="13"/>
    </row>
    <row r="5" ht="13.55" customHeight="1">
      <c r="A5" t="s" s="10">
        <v>144</v>
      </c>
      <c r="B5" s="18">
        <v>120</v>
      </c>
      <c r="C5" t="s" s="15">
        <v>56</v>
      </c>
      <c r="D5" s="13"/>
    </row>
    <row r="6" ht="13.55" customHeight="1">
      <c r="A6" t="s" s="10">
        <v>145</v>
      </c>
      <c r="B6" s="18">
        <v>60</v>
      </c>
      <c r="C6" t="s" s="15">
        <v>56</v>
      </c>
      <c r="D6" s="13"/>
    </row>
    <row r="7" ht="13.55" customHeight="1">
      <c r="A7" t="s" s="10">
        <v>146</v>
      </c>
      <c r="B7" s="18">
        <v>200</v>
      </c>
      <c r="C7" t="s" s="15">
        <v>56</v>
      </c>
      <c r="D7" t="s" s="16">
        <v>147</v>
      </c>
    </row>
    <row r="8" ht="13.55" customHeight="1">
      <c r="A8" t="s" s="10">
        <v>148</v>
      </c>
      <c r="B8" s="18" cm="1">
        <f t="array" ref="B8">AVERAGE(B3,B4,B5,B6,B7)</f>
        <v>118</v>
      </c>
      <c r="C8" t="s" s="15">
        <v>56</v>
      </c>
      <c r="D8" s="13"/>
    </row>
    <row r="9" ht="13.55" customHeight="1">
      <c r="A9" s="69"/>
      <c r="B9" s="12"/>
      <c r="C9" s="12"/>
      <c r="D9" s="13"/>
    </row>
    <row r="10" ht="26.55" customHeight="1">
      <c r="A10" t="s" s="10">
        <v>123</v>
      </c>
      <c r="B10" s="66" cm="1">
        <f t="array" ref="B10">B8/60*'Feuille 1 - Ensembles des param'!B10</f>
        <v>39.3333333333333</v>
      </c>
      <c r="C10" t="s" s="15">
        <v>16</v>
      </c>
      <c r="D10" t="s" s="16">
        <v>149</v>
      </c>
    </row>
    <row r="11" ht="13.55" customHeight="1">
      <c r="A11" t="s" s="71">
        <v>150</v>
      </c>
      <c r="B11" s="75" cm="1">
        <f t="array" ref="B11">B10*'Feuille 1 - Ensembles des param'!B6*'Feuille 1 - Production du papie'!B12/1000</f>
        <v>9.04666666666666</v>
      </c>
      <c r="C11" t="s" s="76">
        <v>16</v>
      </c>
      <c r="D11" t="s" s="16">
        <v>151</v>
      </c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2:D8"/>
  <sheetViews>
    <sheetView workbookViewId="0" showGridLines="0" defaultGridColor="1"/>
  </sheetViews>
  <sheetFormatPr defaultColWidth="8.83333" defaultRowHeight="15.4" customHeight="1" outlineLevelRow="0" outlineLevelCol="0"/>
  <cols>
    <col min="1" max="1" width="46" style="77" customWidth="1"/>
    <col min="2" max="2" width="18" style="77" customWidth="1"/>
    <col min="3" max="3" width="24" style="77" customWidth="1"/>
    <col min="4" max="4" width="70" style="77" customWidth="1"/>
    <col min="5" max="16384" width="8.85156" style="77" customWidth="1"/>
  </cols>
  <sheetData>
    <row r="1" ht="15.55" customHeight="1">
      <c r="A1" t="s" s="2">
        <v>152</v>
      </c>
      <c r="B1" s="2"/>
      <c r="C1" s="2"/>
      <c r="D1" s="2"/>
    </row>
    <row r="2" ht="19.8" customHeight="1">
      <c r="A2" s="78"/>
      <c r="B2" t="s" s="4">
        <v>2</v>
      </c>
      <c r="C2" t="s" s="4">
        <v>3</v>
      </c>
      <c r="D2" t="s" s="5">
        <v>4</v>
      </c>
    </row>
    <row r="3" ht="13.55" customHeight="1">
      <c r="A3" t="s" s="6">
        <v>153</v>
      </c>
      <c r="B3" s="79" cm="1">
        <f t="array" ref="B3">'Feuille 1 - Ensembles des param'!B7/'Feuille 1 - Ensembles des param'!B9*'Feuille 1 - Ensembles des param'!B3</f>
        <v>18</v>
      </c>
      <c r="C3" t="s" s="8">
        <v>16</v>
      </c>
      <c r="D3" s="74"/>
    </row>
    <row r="4" ht="13.55" customHeight="1">
      <c r="A4" t="s" s="10">
        <v>154</v>
      </c>
      <c r="B4" s="66" cm="1">
        <f t="array" ref="B4">'Feuille 1 - Ensembles des param'!B13*'Feuille 1 - Ensembles des param'!B15*(1/'Feuille 1 - Production du papie'!B5)+'Feuille 1 - Ensembles des param'!B14+'Feuille 1 - Ensembles des param'!B16+'Feuille 1 - Ensembles des param'!B17+'Feuille 1 - Ensembles des param'!B18+'Feuille 1 - Production de la T '!H10+'Feuille 1 - Production du papie'!B7*'Feuille 1 - Ensembles des param'!B14</f>
        <v>8.62301128571429</v>
      </c>
      <c r="C4" t="s" s="15">
        <v>16</v>
      </c>
      <c r="D4" s="13"/>
    </row>
    <row r="5" ht="13.55" customHeight="1">
      <c r="A5" t="s" s="10">
        <v>155</v>
      </c>
      <c r="B5" s="80" cm="1">
        <f t="array" ref="B5">ROUND('Feuille 1 - Ensembles des param'!B19+'Feuille 1 - Ensembles des param'!B20+'Feuille 1 - Ensembles des param'!B21+'Feuille 1 - Ensembles des param'!B22+'Feuille 1 - Ensembles des param'!B23*'Feuille 1 - Production du papie'!B6+'Feuille 1 - Ensembles des param'!B24+'Feuille 1 - Ensembles des param'!B25,1)</f>
        <v>203</v>
      </c>
      <c r="C5" t="s" s="15">
        <v>56</v>
      </c>
      <c r="D5" s="13"/>
    </row>
    <row r="6" ht="13.55" customHeight="1">
      <c r="A6" t="s" s="10">
        <v>156</v>
      </c>
      <c r="B6" s="81" cm="1">
        <f t="array" ref="B6">B4*'Feuille 1 - Ensembles des param'!B6</f>
        <v>17.2460225714286</v>
      </c>
      <c r="C6" t="s" s="15">
        <v>16</v>
      </c>
      <c r="D6" s="13"/>
    </row>
    <row r="7" ht="13.55" customHeight="1">
      <c r="A7" t="s" s="10">
        <v>157</v>
      </c>
      <c r="B7" s="80" cm="1">
        <f t="array" ref="B7">B5*'Feuille 1 - Ensembles des param'!B6</f>
        <v>406</v>
      </c>
      <c r="C7" t="s" s="15">
        <v>56</v>
      </c>
      <c r="D7" s="13"/>
    </row>
    <row r="8" ht="13.55" customHeight="1">
      <c r="A8" t="s" s="71">
        <v>158</v>
      </c>
      <c r="B8" s="75" cm="1">
        <f t="array" ref="B8">B3+B6+B7/60*'Feuille 1 - Ensembles des param'!B10</f>
        <v>170.579355904762</v>
      </c>
      <c r="C8" t="s" s="15">
        <v>16</v>
      </c>
      <c r="D8" s="13"/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2:D6"/>
  <sheetViews>
    <sheetView workbookViewId="0" showGridLines="0" defaultGridColor="1"/>
  </sheetViews>
  <sheetFormatPr defaultColWidth="8.83333" defaultRowHeight="15.4" customHeight="1" outlineLevelRow="0" outlineLevelCol="0"/>
  <cols>
    <col min="1" max="1" width="46" style="82" customWidth="1"/>
    <col min="2" max="2" width="18" style="82" customWidth="1"/>
    <col min="3" max="3" width="24" style="82" customWidth="1"/>
    <col min="4" max="4" width="70" style="82" customWidth="1"/>
    <col min="5" max="16384" width="8.85156" style="82" customWidth="1"/>
  </cols>
  <sheetData>
    <row r="1" ht="15.55" customHeight="1">
      <c r="A1" t="s" s="2">
        <v>159</v>
      </c>
      <c r="B1" s="2"/>
      <c r="C1" s="2"/>
      <c r="D1" s="2"/>
    </row>
    <row r="2" ht="19.8" customHeight="1">
      <c r="A2" s="78"/>
      <c r="B2" t="s" s="4">
        <v>2</v>
      </c>
      <c r="C2" t="s" s="4">
        <v>3</v>
      </c>
      <c r="D2" t="s" s="5">
        <v>4</v>
      </c>
    </row>
    <row r="3" ht="13.55" customHeight="1">
      <c r="A3" t="s" s="6">
        <v>160</v>
      </c>
      <c r="B3" s="83" cm="1">
        <f t="array" ref="B3">'Feuille 1 - Serigraphie'!B7+'Feuille 1 - Production du papie'!B20+'Feuille 1 - Production des pigm'!B8*'Feuille 1 - Ensembles des param'!B6/1000*'Feuille 1 - Production du papie'!B12+'Feuille 1 - Ensembles des param'!B19/100*'Feuille 1 - Ensembles des param'!B3</f>
        <v>1090.85296</v>
      </c>
      <c r="C3" t="s" s="8">
        <v>56</v>
      </c>
      <c r="D3" s="74"/>
    </row>
    <row r="4" ht="13.55" customHeight="1">
      <c r="A4" t="s" s="10">
        <v>161</v>
      </c>
      <c r="B4" s="84" cm="1">
        <f t="array" ref="B4">B3/60</f>
        <v>18.1808826666667</v>
      </c>
      <c r="C4" t="s" s="15">
        <v>69</v>
      </c>
      <c r="D4" s="13"/>
    </row>
    <row r="5" ht="13.55" customHeight="1">
      <c r="A5" t="s" s="10">
        <v>162</v>
      </c>
      <c r="B5" s="84" cm="1">
        <f t="array" ref="B5">B4/'Feuille 1 - Ensembles des param'!B29</f>
        <v>2.27261033333334</v>
      </c>
      <c r="C5" t="s" s="15">
        <v>163</v>
      </c>
      <c r="D5" s="13"/>
    </row>
    <row r="6" ht="13.55" customHeight="1">
      <c r="A6" t="s" s="71">
        <v>164</v>
      </c>
      <c r="B6" s="85" cm="1">
        <f t="array" ref="B6">'Feuille 1 - Ensembles des param'!B28/20*B5</f>
        <v>39.7706808333335</v>
      </c>
      <c r="C6" t="s" s="15">
        <v>16</v>
      </c>
      <c r="D6" t="s" s="16">
        <v>165</v>
      </c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B5"/>
  <sheetViews>
    <sheetView workbookViewId="0" showGridLines="0" defaultGridColor="1"/>
  </sheetViews>
  <sheetFormatPr defaultColWidth="8.83333" defaultRowHeight="15.4" customHeight="1" outlineLevelRow="0" outlineLevelCol="0"/>
  <cols>
    <col min="1" max="1" width="46" style="86" customWidth="1"/>
    <col min="2" max="2" width="18" style="86" customWidth="1"/>
    <col min="3" max="16384" width="8.85156" style="86" customWidth="1"/>
  </cols>
  <sheetData>
    <row r="1" ht="13.55" customHeight="1">
      <c r="A1" t="s" s="87">
        <v>166</v>
      </c>
      <c r="B1" s="88" cm="1">
        <f t="array" ref="B1">'Feuille 1 - Production des pigm'!B11+'Feuille 1 - Production du papie'!B21+'Feuille 1 - Serigraphie'!B8+'Feuille 1 - Production de la T '!H12+'Feuille 1 - Temps de travail et'!B6</f>
        <v>462.446194716667</v>
      </c>
    </row>
    <row r="2" ht="13.55" customHeight="1">
      <c r="A2" t="s" s="10">
        <v>167</v>
      </c>
      <c r="B2" s="67" cm="1">
        <f t="array" ref="B2">'Feuille 1 - Temps de travail et'!B4*'Feuille 1 - Ensembles des param'!B10</f>
        <v>363.617653333334</v>
      </c>
    </row>
    <row r="3" ht="13.55" customHeight="1">
      <c r="A3" t="s" s="10">
        <v>168</v>
      </c>
      <c r="B3" s="89" cm="1">
        <f t="array" ref="B3">B2/B1</f>
        <v>0.786291805376659</v>
      </c>
    </row>
    <row r="4" ht="13.55" customHeight="1">
      <c r="A4" t="s" s="71">
        <v>169</v>
      </c>
      <c r="B4" s="72" cm="1">
        <f t="array" ref="B4">B1+B1*'Feuille 1 - Ensembles des param'!B11</f>
        <v>548.599920792382</v>
      </c>
    </row>
    <row r="5" ht="13.55" customHeight="1">
      <c r="A5" t="s" s="10">
        <v>170</v>
      </c>
      <c r="B5" s="90" cm="1">
        <f t="array" ref="B5">B4/'Feuille 1 - Ensembles des param'!B3</f>
        <v>5.48599920792382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